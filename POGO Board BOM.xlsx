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<sst xmlns="http://schemas.openxmlformats.org/spreadsheetml/2006/main" count="45" uniqueCount="38">
  <si>
    <t>POGO Board BOM</t>
  </si>
  <si>
    <t>Item</t>
  </si>
  <si>
    <t>Component</t>
  </si>
  <si>
    <t>Characteristics</t>
  </si>
  <si>
    <t>Purhcase Link</t>
  </si>
  <si>
    <t>Manufacturer Part #</t>
  </si>
  <si>
    <t>Quantity Required</t>
  </si>
  <si>
    <t>Price per unit</t>
  </si>
  <si>
    <t>Total Price</t>
  </si>
  <si>
    <t>Note</t>
  </si>
  <si>
    <t>Connector</t>
  </si>
  <si>
    <t>BNC to SMA</t>
  </si>
  <si>
    <r>
      <rPr>
        <rFont val="Arial"/>
        <color rgb="FF1155CC"/>
        <u/>
      </rPr>
      <t>242181-10 Amphenol RF | Mouser</t>
    </r>
  </si>
  <si>
    <t>242181-10</t>
  </si>
  <si>
    <t>Prof said 20</t>
  </si>
  <si>
    <t>8 pin POGO</t>
  </si>
  <si>
    <r>
      <rPr>
        <rFont val="Arial"/>
        <color rgb="FF1155CC"/>
        <u/>
      </rPr>
      <t>854-22-008-10-004101 Mill-Max Manufacturing Corp. | Connectors, Interconnects | DigiKey</t>
    </r>
  </si>
  <si>
    <t>854-22-008-10-004101</t>
  </si>
  <si>
    <t>10 for 5 boards (x2 for backup)</t>
  </si>
  <si>
    <t>10 pin POGO</t>
  </si>
  <si>
    <r>
      <rPr>
        <rFont val="Arial"/>
        <color rgb="FF1155CC"/>
        <u/>
      </rPr>
      <t>854-22-010-10-004101 Mill-Max Manufacturing Corp. | Connectors, Interconnects | DigiKey</t>
    </r>
  </si>
  <si>
    <t>854-22-010-10-004101</t>
  </si>
  <si>
    <t>SMA</t>
  </si>
  <si>
    <r>
      <rPr>
        <rFont val="Arial"/>
        <color rgb="FF1155CC"/>
        <u/>
      </rPr>
      <t>SMA-J-P-H-ST-TH1 Samtec Inc. | Connectors, Interconnects | DigiKey</t>
    </r>
  </si>
  <si>
    <t>SMA-J-P-H-ST-TH1</t>
  </si>
  <si>
    <t>5 for 5 boards (x2)</t>
  </si>
  <si>
    <t>Cables</t>
  </si>
  <si>
    <t>SMA to SMA (pack of 5)</t>
  </si>
  <si>
    <r>
      <rPr>
        <color rgb="FF1155CC"/>
        <u/>
      </rPr>
      <t>Amazon.com: SDTC Tech 5pcs Coaxial Coax Cable Assembly SMA Male to SMA Male Antenna Extender Cable Adapter Jumper(6 inch/15cm) : Electronics</t>
    </r>
  </si>
  <si>
    <t>UNKNOWN</t>
  </si>
  <si>
    <t>10 needed per faraday cage, 5 cables gives 10</t>
  </si>
  <si>
    <t xml:space="preserve"> </t>
  </si>
  <si>
    <t>8 pins female header</t>
  </si>
  <si>
    <r>
      <rPr>
        <rFont val="Arial"/>
        <color rgb="FF1155CC"/>
        <u/>
      </rPr>
      <t>61300811821 Würth Elektronik | Connectors, Interconnects | DigiKey</t>
    </r>
  </si>
  <si>
    <t>PURCHASED BY MIGUEL</t>
  </si>
  <si>
    <t>10 pins female header</t>
  </si>
  <si>
    <r>
      <rPr>
        <rFont val="Arial"/>
        <color rgb="FF1155CC"/>
        <u/>
      </rPr>
      <t>61301011821 Würth Elektronik | Connectors, Interconnects | DigiKey</t>
    </r>
  </si>
  <si>
    <t>Grand Total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</si>
</sst>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1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b/>
      <sz val="12.0"/>
      <color theme="1"/>
      <name val="Calibri"/>
    </font>
    <font>
      <b/>
      <color theme="1"/>
      <name val="Arial"/>
      <scheme val="minor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1155CC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0" fontId="4" numFmtId="0" xfId="0" applyAlignment="1" applyBorder="1" applyFont="1">
      <alignment horizontal="center" vertical="bottom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164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164" xfId="0" applyAlignment="1" applyFont="1" applyNumberFormat="1">
      <alignment readingOrder="0"/>
    </xf>
    <xf borderId="0" fillId="0" fontId="3" numFmtId="0" xfId="0" applyAlignment="1" applyFont="1">
      <alignment horizontal="right" readingOrder="0" vertical="bottom"/>
    </xf>
    <xf borderId="0" fillId="2" fontId="9" numFmtId="0" xfId="0" applyAlignment="1" applyFill="1" applyFont="1">
      <alignment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center" vertical="bottom"/>
    </xf>
    <xf borderId="0" fillId="2" fontId="5" numFmtId="0" xfId="0" applyAlignment="1" applyFont="1">
      <alignment readingOrder="0"/>
    </xf>
    <xf borderId="7" fillId="3" fontId="3" numFmtId="0" xfId="0" applyAlignment="1" applyBorder="1" applyFill="1" applyFont="1">
      <alignment vertical="bottom"/>
    </xf>
    <xf borderId="8" fillId="3" fontId="10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ProductDetail/Amphenol-RF/242181-10?qs=Z6N%252BYuApFLWPhJ5EAa5L8g%3D%3D&amp;srsltid=AfmBOorXQ5EtW8U2DdThXw26m4Wni4mPqrz3nrjpDs91BcIE2vZSDBmW" TargetMode="External"/><Relationship Id="rId2" Type="http://schemas.openxmlformats.org/officeDocument/2006/relationships/hyperlink" Target="https://www.digikey.com/en/products/detail/mill-max-manufacturing-corp/854-22-008-10-004101/22032807" TargetMode="External"/><Relationship Id="rId3" Type="http://schemas.openxmlformats.org/officeDocument/2006/relationships/hyperlink" Target="https://www.digikey.com/en/products/detail/mill-max-manufacturing-corp/854-22-010-10-004101/22032819" TargetMode="External"/><Relationship Id="rId4" Type="http://schemas.openxmlformats.org/officeDocument/2006/relationships/hyperlink" Target="https://www.digikey.com/en/products/detail/samtec-inc/SMA-J-P-H-ST-TH1/2345104?gclsrc=aw.ds&amp;&amp;utm_adgroup=RF%20%26%20RFID&amp;utm_source=google&amp;utm_medium=cpc&amp;utm_campaign=Dynamic%20Search_EN_Product&amp;utm_term=&amp;utm_content=RF%20%26%20RFID&amp;utm_id=go_cmp-120565755_adg-9159613755_ad-665604606845_dsa-152295748091_dev-c_ext-_prd-_sig-Cj0KCQiA-aK8BhCDARIsAL_-H9n3Nl98e70U40DBwgObZhy7nlK-gkUa2Etlbqoywl958pPAkRe9lZcaAkkYEALw_wcB&amp;gad_source=1&amp;gclid=Cj0KCQiA-aK8BhCDARIsAL_-H9n3Nl98e70U40DBwgObZhy7nlK-gkUa2Etlbqoywl958pPAkRe9lZcaAkkYEALw_wcB&amp;gclsrc=aw.ds" TargetMode="External"/><Relationship Id="rId5" Type="http://schemas.openxmlformats.org/officeDocument/2006/relationships/hyperlink" Target="https://www.amazon.com/SDTC-Tech-Coaxial-Assembly-Extender/dp/B07NCLZWHH/ref=asc_df_B07NCLZWHH?mcid=17cf7ce2bc9a3ec790715a41c35a67f1&amp;hvocijid=9257725391737462741-B07NCLZWHH-&amp;hvexpln=73&amp;tag=hyprod-20&amp;linkCode=df0&amp;hvadid=721245378154&amp;hvpos=&amp;hvnetw=g&amp;hvrand=9257725391737462741&amp;hvpone=&amp;hvptwo=&amp;hvqmt=&amp;hvdev=c&amp;hvdvcmdl=&amp;hvlocint=&amp;hvlocphy=9004338&amp;hvtargid=pla-2281435180538&amp;th=1" TargetMode="External"/><Relationship Id="rId6" Type="http://schemas.openxmlformats.org/officeDocument/2006/relationships/hyperlink" Target="https://www.digikey.com/en/products/detail/w%C3%BCrth-elektronik/61300811821/17737805" TargetMode="External"/><Relationship Id="rId7" Type="http://schemas.openxmlformats.org/officeDocument/2006/relationships/hyperlink" Target="https://www.digikey.com/en/products/detail/w%C3%BCrth-elektronik/61301011821/2508628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0.38"/>
    <col customWidth="1" min="3" max="3" width="21.63"/>
    <col customWidth="1" min="4" max="4" width="89.75"/>
    <col customWidth="1" min="5" max="5" width="20.0"/>
    <col customWidth="1" min="6" max="6" width="16.25"/>
    <col customWidth="1" min="9" max="9" width="35.88"/>
  </cols>
  <sheetData>
    <row r="1">
      <c r="A1" s="1" t="s">
        <v>0</v>
      </c>
      <c r="B1" s="2"/>
      <c r="C1" s="3"/>
      <c r="D1" s="4"/>
      <c r="E1" s="4"/>
      <c r="F1" s="4"/>
      <c r="G1" s="4"/>
      <c r="H1" s="4"/>
    </row>
    <row r="2">
      <c r="A2" s="5" t="s">
        <v>1</v>
      </c>
      <c r="B2" s="6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8" t="s">
        <v>9</v>
      </c>
    </row>
    <row r="3">
      <c r="A3" s="9">
        <v>1.0</v>
      </c>
      <c r="B3" s="10" t="s">
        <v>10</v>
      </c>
      <c r="C3" s="10" t="s">
        <v>11</v>
      </c>
      <c r="D3" s="11" t="s">
        <v>12</v>
      </c>
      <c r="E3" s="10" t="s">
        <v>13</v>
      </c>
      <c r="F3" s="12">
        <v>12.0</v>
      </c>
      <c r="G3" s="13">
        <v>24.74</v>
      </c>
      <c r="H3" s="13">
        <f t="shared" ref="H3:H9" si="1">G3*F3</f>
        <v>296.88</v>
      </c>
      <c r="I3" s="14" t="s">
        <v>14</v>
      </c>
    </row>
    <row r="4">
      <c r="A4" s="9">
        <v>2.0</v>
      </c>
      <c r="B4" s="10" t="s">
        <v>10</v>
      </c>
      <c r="C4" s="10" t="s">
        <v>15</v>
      </c>
      <c r="D4" s="11" t="s">
        <v>16</v>
      </c>
      <c r="E4" s="10" t="s">
        <v>17</v>
      </c>
      <c r="F4" s="12">
        <v>12.0</v>
      </c>
      <c r="G4" s="13">
        <v>6.731</v>
      </c>
      <c r="H4" s="13">
        <f t="shared" si="1"/>
        <v>80.772</v>
      </c>
      <c r="I4" s="14" t="s">
        <v>18</v>
      </c>
    </row>
    <row r="5">
      <c r="A5" s="9">
        <v>3.0</v>
      </c>
      <c r="B5" s="10" t="s">
        <v>10</v>
      </c>
      <c r="C5" s="10" t="s">
        <v>19</v>
      </c>
      <c r="D5" s="11" t="s">
        <v>20</v>
      </c>
      <c r="E5" s="10" t="s">
        <v>21</v>
      </c>
      <c r="F5" s="12">
        <v>12.0</v>
      </c>
      <c r="G5" s="13">
        <v>7.55</v>
      </c>
      <c r="H5" s="13">
        <f t="shared" si="1"/>
        <v>90.6</v>
      </c>
      <c r="I5" s="14" t="s">
        <v>18</v>
      </c>
    </row>
    <row r="6">
      <c r="A6" s="9">
        <v>4.0</v>
      </c>
      <c r="B6" s="15" t="s">
        <v>10</v>
      </c>
      <c r="C6" s="15" t="s">
        <v>22</v>
      </c>
      <c r="D6" s="11" t="s">
        <v>23</v>
      </c>
      <c r="E6" s="10" t="s">
        <v>24</v>
      </c>
      <c r="F6" s="12">
        <v>8.0</v>
      </c>
      <c r="G6" s="13">
        <v>4.365</v>
      </c>
      <c r="H6" s="13">
        <f t="shared" si="1"/>
        <v>34.92</v>
      </c>
      <c r="I6" s="14" t="s">
        <v>25</v>
      </c>
    </row>
    <row r="7">
      <c r="A7" s="14">
        <v>5.0</v>
      </c>
      <c r="B7" s="14" t="s">
        <v>26</v>
      </c>
      <c r="C7" s="14" t="s">
        <v>27</v>
      </c>
      <c r="D7" s="16" t="s">
        <v>28</v>
      </c>
      <c r="E7" s="14" t="s">
        <v>29</v>
      </c>
      <c r="F7" s="17">
        <v>2.0</v>
      </c>
      <c r="G7" s="18">
        <v>12.99</v>
      </c>
      <c r="H7" s="18">
        <f t="shared" si="1"/>
        <v>25.98</v>
      </c>
      <c r="I7" s="14" t="s">
        <v>30</v>
      </c>
      <c r="J7" s="14" t="s">
        <v>31</v>
      </c>
    </row>
    <row r="8">
      <c r="A8" s="19">
        <v>6.0</v>
      </c>
      <c r="B8" s="15" t="s">
        <v>10</v>
      </c>
      <c r="C8" s="15" t="s">
        <v>32</v>
      </c>
      <c r="D8" s="20" t="s">
        <v>33</v>
      </c>
      <c r="E8" s="21">
        <v>6.1300811821E10</v>
      </c>
      <c r="F8" s="22">
        <v>10.0</v>
      </c>
      <c r="G8" s="13">
        <v>0.35</v>
      </c>
      <c r="H8" s="13">
        <f t="shared" si="1"/>
        <v>3.5</v>
      </c>
      <c r="I8" s="23" t="s">
        <v>34</v>
      </c>
    </row>
    <row r="9">
      <c r="A9" s="19">
        <v>7.0</v>
      </c>
      <c r="B9" s="15" t="s">
        <v>10</v>
      </c>
      <c r="C9" s="15" t="s">
        <v>35</v>
      </c>
      <c r="D9" s="20" t="s">
        <v>36</v>
      </c>
      <c r="E9" s="21">
        <v>6.1301011821E10</v>
      </c>
      <c r="F9" s="22">
        <v>10.0</v>
      </c>
      <c r="G9" s="13">
        <v>0.615</v>
      </c>
      <c r="H9" s="13">
        <f t="shared" si="1"/>
        <v>6.15</v>
      </c>
      <c r="I9" s="23" t="s">
        <v>34</v>
      </c>
    </row>
    <row r="10">
      <c r="A10" s="10"/>
      <c r="B10" s="10"/>
      <c r="C10" s="10"/>
      <c r="D10" s="10"/>
      <c r="E10" s="10"/>
      <c r="F10" s="10"/>
      <c r="G10" s="24" t="s">
        <v>37</v>
      </c>
      <c r="H10" s="25">
        <f>SUM(H2:H9)</f>
        <v>538.802</v>
      </c>
    </row>
  </sheetData>
  <mergeCells count="1">
    <mergeCell ref="A1:C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</hyperlinks>
  <drawing r:id="rId8"/>
</worksheet>
</file>