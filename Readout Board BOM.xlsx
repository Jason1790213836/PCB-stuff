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<sst xmlns="http://schemas.openxmlformats.org/spreadsheetml/2006/main" count="126" uniqueCount="93">
  <si>
    <t>Components for 1 board:</t>
  </si>
  <si>
    <t>NOT COMPLETED</t>
  </si>
  <si>
    <t>Item</t>
  </si>
  <si>
    <t>Component Name</t>
  </si>
  <si>
    <t>Characteristics</t>
  </si>
  <si>
    <t>Drawing Reference</t>
  </si>
  <si>
    <t>Manufacturer Part #</t>
  </si>
  <si>
    <t>Quantity Required</t>
  </si>
  <si>
    <t>Avalibility?</t>
  </si>
  <si>
    <t>Total Price</t>
  </si>
  <si>
    <t>Purpose</t>
  </si>
  <si>
    <t>Capacitor</t>
  </si>
  <si>
    <t>0805 1uF</t>
  </si>
  <si>
    <t>C0805X105K5RACAUTO</t>
  </si>
  <si>
    <t>LAB</t>
  </si>
  <si>
    <t>2 for 5V REG, 1 for charge pump</t>
  </si>
  <si>
    <t>0805 2.2uF</t>
  </si>
  <si>
    <t>C0805X225J4RECAUTO</t>
  </si>
  <si>
    <t>3 for 3.3V REG</t>
  </si>
  <si>
    <t>0805 10uF</t>
  </si>
  <si>
    <t>TMK212BBJ106KG-T</t>
  </si>
  <si>
    <t>2 for charge pump, 1 for MCU</t>
  </si>
  <si>
    <t>0805 100nF</t>
  </si>
  <si>
    <t>C0805C104K4RACTU</t>
  </si>
  <si>
    <t>1 for MCU</t>
  </si>
  <si>
    <t>0805 80nF</t>
  </si>
  <si>
    <t>LPF</t>
  </si>
  <si>
    <t>0805 10pF</t>
  </si>
  <si>
    <t>C0805C301G5GACTU</t>
  </si>
  <si>
    <t>LAB+4 more</t>
  </si>
  <si>
    <t>R-TIA Stability</t>
  </si>
  <si>
    <t>Charge Pump</t>
  </si>
  <si>
    <t>LTC1983</t>
  </si>
  <si>
    <t>NEG 5V GEN</t>
  </si>
  <si>
    <t>LDO Regulator</t>
  </si>
  <si>
    <t xml:space="preserve">TPS7A2050PDVBR </t>
  </si>
  <si>
    <t>POS 5V REG</t>
  </si>
  <si>
    <t>ADP7118ARDZ-3.3</t>
  </si>
  <si>
    <t>POS 3.3 REG for MCU</t>
  </si>
  <si>
    <t>Barrel Plug</t>
  </si>
  <si>
    <t>PJ-002AH-SMT-TR</t>
  </si>
  <si>
    <t>Power supply in</t>
  </si>
  <si>
    <t>MCU</t>
  </si>
  <si>
    <t>MSP430FR4132IG56</t>
  </si>
  <si>
    <t>MUX control signal</t>
  </si>
  <si>
    <t>4:1 MUX</t>
  </si>
  <si>
    <t xml:space="preserve">TMUX1109PWR </t>
  </si>
  <si>
    <t>1 per 4 transistors (x4)</t>
  </si>
  <si>
    <t>3:1 MUX</t>
  </si>
  <si>
    <t xml:space="preserve">TS5A3359DCUT </t>
  </si>
  <si>
    <t>1 per 3 transistors (x2)</t>
  </si>
  <si>
    <t>SMA Connector</t>
  </si>
  <si>
    <t>SMA-J-P-H-ST-TH1</t>
  </si>
  <si>
    <t>5 per debug channel (x2) (VD, IN, 2VD, TIA OUT, LPF+BUFFER OUT), 3 for gate biasing (TG1, TG2, BG) and 1 for debug transistor, 1 for POGO board</t>
  </si>
  <si>
    <t>Resistor</t>
  </si>
  <si>
    <t>0805 110k</t>
  </si>
  <si>
    <t>ERJ-PB6D1103V</t>
  </si>
  <si>
    <t>LAB + 14</t>
  </si>
  <si>
    <t>R-TIA Gain</t>
  </si>
  <si>
    <t>0805 10k</t>
  </si>
  <si>
    <t>ERJ-S06J103V</t>
  </si>
  <si>
    <t>0805 1k</t>
  </si>
  <si>
    <t>UNKNOWN</t>
  </si>
  <si>
    <t>2 per channel for 2VD GEN</t>
  </si>
  <si>
    <t>OPAMP</t>
  </si>
  <si>
    <t>ADA4610-2ARZ-R7</t>
  </si>
  <si>
    <t>1 per channel (2 per IC, TIA and 2VD Gen)</t>
  </si>
  <si>
    <t>AD8541ARZ</t>
  </si>
  <si>
    <t>LAB + 8</t>
  </si>
  <si>
    <t>1 per channel (1 per IC, Buffer)</t>
  </si>
  <si>
    <t>Connector</t>
  </si>
  <si>
    <t>Edge card</t>
  </si>
  <si>
    <t>PCIE-036-02-F-D-RA</t>
  </si>
  <si>
    <t>POGO Board BOM</t>
  </si>
  <si>
    <t>Purhcase Link</t>
  </si>
  <si>
    <t>Price per unit</t>
  </si>
  <si>
    <t>BNC to SMA</t>
  </si>
  <si>
    <r>
      <rPr>
        <color rgb="FF1155CC"/>
        <u/>
      </rPr>
      <t>242181-10 Amphenol RF | Mouser</t>
    </r>
  </si>
  <si>
    <t>242181-10</t>
  </si>
  <si>
    <t>8 pin POGO</t>
  </si>
  <si>
    <r>
      <rPr>
        <color rgb="FF1155CC"/>
        <u/>
      </rPr>
      <t>854-22-008-10-004101 Mill-Max Manufacturing Corp. | Connectors, Interconnects | DigiKey</t>
    </r>
  </si>
  <si>
    <t>854-22-008-10-004101</t>
  </si>
  <si>
    <t>10 pin POGO</t>
  </si>
  <si>
    <r>
      <rPr>
        <color rgb="FF1155CC"/>
        <u/>
      </rPr>
      <t>854-22-010-10-004101 Mill-Max Manufacturing Corp. | Connectors, Interconnects | DigiKey</t>
    </r>
  </si>
  <si>
    <t>854-22-010-10-004101</t>
  </si>
  <si>
    <t>Sol Gate</t>
  </si>
  <si>
    <r>
      <rPr>
        <color rgb="FF1155CC"/>
        <u/>
      </rPr>
      <t>SMA-J-P-H-ST-TH1 Samtec Inc. | Connectors, Interconnects | DigiKey</t>
    </r>
  </si>
  <si>
    <t>Header</t>
  </si>
  <si>
    <t>8 pins</t>
  </si>
  <si>
    <r>
      <rPr>
        <color rgb="FF1155CC"/>
        <u/>
      </rPr>
      <t>61300811821 Würth Elektronik | Connectors, Interconnects | DigiKey</t>
    </r>
  </si>
  <si>
    <t>10 pins</t>
  </si>
  <si>
    <r>
      <rPr>
        <color rgb="FF1155CC"/>
        <u/>
      </rPr>
      <t>61301011821 Würth Elektronik | Connectors, Interconnects | DigiKey</t>
    </r>
  </si>
  <si>
    <t>Grand Total --&gt;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</si>
</sst>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10">
    <font>
      <sz val="10.0"/>
      <color rgb="FF000000"/>
      <name val="Arial"/>
      <scheme val="minor"/>
    </font>
    <font>
      <color theme="1"/>
      <name val="Arial"/>
    </font>
    <font>
      <b/>
      <sz val="14.0"/>
      <color theme="1"/>
      <name val="Arial"/>
    </font>
    <font/>
    <font>
      <color rgb="FFFF0000"/>
      <name val="Arial"/>
    </font>
    <font>
      <color theme="1"/>
      <name val="Arial"/>
      <scheme val="minor"/>
    </font>
    <font>
      <b/>
      <sz val="12.0"/>
      <color theme="1"/>
      <name val="Calibri"/>
    </font>
    <font>
      <color rgb="FF000000"/>
      <name val="Arial"/>
      <scheme val="minor"/>
    </font>
    <font>
      <u/>
      <color rgb="FF0000FF"/>
    </font>
    <font>
      <b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7">
    <border/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readingOrder="0" vertical="bottom"/>
    </xf>
    <xf borderId="2" fillId="0" fontId="3" numFmtId="0" xfId="0" applyBorder="1" applyFont="1"/>
    <xf borderId="3" fillId="0" fontId="3" numFmtId="0" xfId="0" applyBorder="1" applyFont="1"/>
    <xf borderId="4" fillId="0" fontId="4" numFmtId="0" xfId="0" applyAlignment="1" applyBorder="1" applyFont="1">
      <alignment readingOrder="0" vertical="bottom"/>
    </xf>
    <xf borderId="4" fillId="0" fontId="5" numFmtId="0" xfId="0" applyBorder="1" applyFont="1"/>
    <xf borderId="5" fillId="0" fontId="6" numFmtId="0" xfId="0" applyAlignment="1" applyBorder="1" applyFont="1">
      <alignment horizontal="center" vertical="bottom"/>
    </xf>
    <xf borderId="6" fillId="0" fontId="6" numFmtId="0" xfId="0" applyAlignment="1" applyBorder="1" applyFont="1">
      <alignment horizontal="center" vertical="bottom"/>
    </xf>
    <xf borderId="6" fillId="0" fontId="6" numFmtId="0" xfId="0" applyAlignment="1" applyBorder="1" applyFont="1">
      <alignment horizontal="center" readingOrder="0" vertical="bottom"/>
    </xf>
    <xf borderId="6" fillId="0" fontId="6" numFmtId="0" xfId="0" applyAlignment="1" applyBorder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5" numFmtId="0" xfId="0" applyAlignment="1" applyFont="1">
      <alignment readingOrder="0"/>
    </xf>
    <xf borderId="0" fillId="0" fontId="7" numFmtId="0" xfId="0" applyAlignment="1" applyFont="1">
      <alignment readingOrder="0"/>
    </xf>
    <xf borderId="0" fillId="2" fontId="5" numFmtId="0" xfId="0" applyAlignment="1" applyFont="1">
      <alignment readingOrder="0"/>
    </xf>
    <xf borderId="0" fillId="0" fontId="6" numFmtId="0" xfId="0" applyAlignment="1" applyFont="1">
      <alignment horizontal="center" readingOrder="0"/>
    </xf>
    <xf borderId="0" fillId="0" fontId="8" numFmtId="0" xfId="0" applyAlignment="1" applyFont="1">
      <alignment readingOrder="0"/>
    </xf>
    <xf borderId="0" fillId="0" fontId="5" numFmtId="164" xfId="0" applyAlignment="1" applyFont="1" applyNumberFormat="1">
      <alignment readingOrder="0"/>
    </xf>
    <xf borderId="0" fillId="0" fontId="5" numFmtId="164" xfId="0" applyFont="1" applyNumberFormat="1"/>
    <xf borderId="0" fillId="0" fontId="5" numFmtId="0" xfId="0" applyAlignment="1" applyFont="1">
      <alignment horizontal="left" readingOrder="0"/>
    </xf>
    <xf borderId="0" fillId="2" fontId="9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mouser.com/ProductDetail/Amphenol-RF/242181-10?qs=Z6N%252BYuApFLWPhJ5EAa5L8g%3D%3D&amp;srsltid=AfmBOorXQ5EtW8U2DdThXw26m4Wni4mPqrz3nrjpDs91BcIE2vZSDBmW" TargetMode="External"/><Relationship Id="rId2" Type="http://schemas.openxmlformats.org/officeDocument/2006/relationships/hyperlink" Target="https://www.digikey.com/en/products/detail/mill-max-manufacturing-corp/854-22-008-10-004101/22032807" TargetMode="External"/><Relationship Id="rId3" Type="http://schemas.openxmlformats.org/officeDocument/2006/relationships/hyperlink" Target="https://www.digikey.com/en/products/detail/mill-max-manufacturing-corp/854-22-010-10-004101/22032819" TargetMode="External"/><Relationship Id="rId4" Type="http://schemas.openxmlformats.org/officeDocument/2006/relationships/hyperlink" Target="https://www.digikey.com/en/products/detail/samtec-inc/SMA-J-P-H-ST-TH1/2345104?gclsrc=aw.ds&amp;&amp;utm_adgroup=RF%20%26%20RFID&amp;utm_source=google&amp;utm_medium=cpc&amp;utm_campaign=Dynamic%20Search_EN_Product&amp;utm_term=&amp;utm_content=RF%20%26%20RFID&amp;utm_id=go_cmp-120565755_adg-9159613755_ad-665604606845_dsa-152295748091_dev-c_ext-_prd-_sig-Cj0KCQiA-aK8BhCDARIsAL_-H9n3Nl98e70U40DBwgObZhy7nlK-gkUa2Etlbqoywl958pPAkRe9lZcaAkkYEALw_wcB&amp;gad_source=1&amp;gclid=Cj0KCQiA-aK8BhCDARIsAL_-H9n3Nl98e70U40DBwgObZhy7nlK-gkUa2Etlbqoywl958pPAkRe9lZcaAkkYEALw_wcB&amp;gclsrc=aw.ds" TargetMode="External"/><Relationship Id="rId5" Type="http://schemas.openxmlformats.org/officeDocument/2006/relationships/hyperlink" Target="https://www.digikey.com/en/products/detail/w%C3%BCrth-elektronik/61300811821/17737805" TargetMode="External"/><Relationship Id="rId6" Type="http://schemas.openxmlformats.org/officeDocument/2006/relationships/hyperlink" Target="https://www.digikey.com/en/products/detail/w%C3%BCrth-elektronik/61301011821/2508628" TargetMode="External"/><Relationship Id="rId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63"/>
    <col customWidth="1" min="2" max="2" width="16.13"/>
    <col customWidth="1" min="3" max="3" width="14.75"/>
    <col customWidth="1" min="4" max="4" width="16.63"/>
    <col customWidth="1" min="5" max="5" width="18.88"/>
    <col customWidth="1" min="6" max="6" width="16.38"/>
    <col customWidth="1" min="7" max="7" width="12.5"/>
    <col customWidth="1" min="8" max="8" width="14.0"/>
    <col customWidth="1" min="9" max="9" width="95.63"/>
  </cols>
  <sheetData>
    <row r="1">
      <c r="A1" s="1"/>
      <c r="B1" s="2"/>
      <c r="C1" s="2"/>
      <c r="D1" s="2"/>
      <c r="E1" s="2"/>
      <c r="F1" s="2"/>
      <c r="G1" s="2"/>
      <c r="H1" s="2"/>
    </row>
    <row r="2">
      <c r="A2" s="3" t="s">
        <v>0</v>
      </c>
      <c r="B2" s="4"/>
      <c r="C2" s="5"/>
      <c r="D2" s="6" t="s">
        <v>1</v>
      </c>
      <c r="E2" s="6"/>
      <c r="F2" s="6"/>
      <c r="G2" s="6"/>
      <c r="H2" s="6" t="s">
        <v>1</v>
      </c>
      <c r="I2" s="7"/>
    </row>
    <row r="3">
      <c r="A3" s="8" t="s">
        <v>2</v>
      </c>
      <c r="B3" s="9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10" t="s">
        <v>8</v>
      </c>
      <c r="H3" s="9" t="s">
        <v>9</v>
      </c>
      <c r="I3" s="11" t="s">
        <v>10</v>
      </c>
    </row>
    <row r="4">
      <c r="A4" s="12">
        <v>1.0</v>
      </c>
      <c r="B4" s="13" t="s">
        <v>11</v>
      </c>
      <c r="C4" s="13" t="s">
        <v>12</v>
      </c>
      <c r="E4" s="13" t="s">
        <v>13</v>
      </c>
      <c r="F4" s="13">
        <v>3.0</v>
      </c>
      <c r="G4" s="12" t="s">
        <v>14</v>
      </c>
      <c r="I4" s="13" t="s">
        <v>15</v>
      </c>
    </row>
    <row r="5">
      <c r="A5" s="12">
        <v>2.0</v>
      </c>
      <c r="B5" s="13" t="s">
        <v>11</v>
      </c>
      <c r="C5" s="13" t="s">
        <v>16</v>
      </c>
      <c r="E5" s="13" t="s">
        <v>17</v>
      </c>
      <c r="F5" s="13">
        <v>3.0</v>
      </c>
      <c r="G5" s="12" t="s">
        <v>14</v>
      </c>
      <c r="I5" s="13" t="s">
        <v>18</v>
      </c>
    </row>
    <row r="6">
      <c r="A6" s="12">
        <v>3.0</v>
      </c>
      <c r="B6" s="13" t="s">
        <v>11</v>
      </c>
      <c r="C6" s="13" t="s">
        <v>19</v>
      </c>
      <c r="E6" s="13" t="s">
        <v>20</v>
      </c>
      <c r="F6" s="13">
        <v>3.0</v>
      </c>
      <c r="G6" s="12" t="s">
        <v>14</v>
      </c>
      <c r="I6" s="13" t="s">
        <v>21</v>
      </c>
    </row>
    <row r="7">
      <c r="A7" s="12">
        <v>4.0</v>
      </c>
      <c r="B7" s="13" t="s">
        <v>11</v>
      </c>
      <c r="C7" s="13" t="s">
        <v>22</v>
      </c>
      <c r="E7" s="13" t="s">
        <v>23</v>
      </c>
      <c r="F7" s="13">
        <v>1.0</v>
      </c>
      <c r="G7" s="12" t="s">
        <v>14</v>
      </c>
      <c r="I7" s="13" t="s">
        <v>24</v>
      </c>
    </row>
    <row r="8">
      <c r="A8" s="12">
        <v>5.0</v>
      </c>
      <c r="B8" s="13" t="s">
        <v>11</v>
      </c>
      <c r="C8" s="13" t="s">
        <v>25</v>
      </c>
      <c r="E8" s="13" t="s">
        <v>23</v>
      </c>
      <c r="F8" s="13">
        <v>8.0</v>
      </c>
      <c r="G8" s="12">
        <v>8.0</v>
      </c>
      <c r="I8" s="13" t="s">
        <v>26</v>
      </c>
    </row>
    <row r="9">
      <c r="A9" s="12">
        <v>6.0</v>
      </c>
      <c r="B9" s="13" t="s">
        <v>11</v>
      </c>
      <c r="C9" s="14" t="s">
        <v>27</v>
      </c>
      <c r="E9" s="13" t="s">
        <v>28</v>
      </c>
      <c r="F9" s="13">
        <v>8.0</v>
      </c>
      <c r="G9" s="12" t="s">
        <v>29</v>
      </c>
      <c r="I9" s="13" t="s">
        <v>30</v>
      </c>
    </row>
    <row r="10">
      <c r="A10" s="12">
        <v>7.0</v>
      </c>
      <c r="B10" s="13" t="s">
        <v>31</v>
      </c>
      <c r="E10" s="13" t="s">
        <v>32</v>
      </c>
      <c r="F10" s="13">
        <v>1.0</v>
      </c>
      <c r="G10" s="12" t="s">
        <v>14</v>
      </c>
      <c r="I10" s="13" t="s">
        <v>33</v>
      </c>
    </row>
    <row r="11">
      <c r="A11" s="12">
        <v>8.0</v>
      </c>
      <c r="B11" s="13" t="s">
        <v>34</v>
      </c>
      <c r="E11" s="13" t="s">
        <v>35</v>
      </c>
      <c r="F11" s="13">
        <v>1.0</v>
      </c>
      <c r="G11" s="12" t="s">
        <v>14</v>
      </c>
      <c r="I11" s="13" t="s">
        <v>36</v>
      </c>
    </row>
    <row r="12">
      <c r="A12" s="12">
        <v>9.0</v>
      </c>
      <c r="B12" s="13" t="s">
        <v>34</v>
      </c>
      <c r="E12" s="13" t="s">
        <v>37</v>
      </c>
      <c r="F12" s="13">
        <v>1.0</v>
      </c>
      <c r="G12" s="12" t="s">
        <v>14</v>
      </c>
      <c r="I12" s="13" t="s">
        <v>38</v>
      </c>
    </row>
    <row r="13">
      <c r="A13" s="12">
        <v>10.0</v>
      </c>
      <c r="B13" s="13" t="s">
        <v>39</v>
      </c>
      <c r="E13" s="13" t="s">
        <v>40</v>
      </c>
      <c r="F13" s="13">
        <v>1.0</v>
      </c>
      <c r="G13" s="12">
        <v>1.0</v>
      </c>
      <c r="I13" s="13" t="s">
        <v>41</v>
      </c>
    </row>
    <row r="14">
      <c r="A14" s="12">
        <v>11.0</v>
      </c>
      <c r="B14" s="13" t="s">
        <v>42</v>
      </c>
      <c r="E14" s="13" t="s">
        <v>43</v>
      </c>
      <c r="F14" s="13">
        <v>1.0</v>
      </c>
      <c r="G14" s="12" t="s">
        <v>14</v>
      </c>
      <c r="I14" s="13" t="s">
        <v>44</v>
      </c>
    </row>
    <row r="15">
      <c r="A15" s="12">
        <v>12.0</v>
      </c>
      <c r="B15" s="13" t="s">
        <v>45</v>
      </c>
      <c r="E15" s="13" t="s">
        <v>46</v>
      </c>
      <c r="F15" s="13">
        <v>4.0</v>
      </c>
      <c r="G15" s="12">
        <v>4.0</v>
      </c>
      <c r="I15" s="13" t="s">
        <v>47</v>
      </c>
    </row>
    <row r="16">
      <c r="A16" s="12">
        <v>13.0</v>
      </c>
      <c r="B16" s="13" t="s">
        <v>48</v>
      </c>
      <c r="E16" s="13" t="s">
        <v>49</v>
      </c>
      <c r="F16" s="13">
        <v>2.0</v>
      </c>
      <c r="G16" s="12">
        <v>2.0</v>
      </c>
      <c r="I16" s="13" t="s">
        <v>50</v>
      </c>
    </row>
    <row r="17">
      <c r="A17" s="12">
        <v>14.0</v>
      </c>
      <c r="B17" s="15" t="s">
        <v>51</v>
      </c>
      <c r="C17" s="13"/>
      <c r="E17" s="13" t="s">
        <v>52</v>
      </c>
      <c r="F17" s="13">
        <v>14.0</v>
      </c>
      <c r="G17" s="12">
        <v>14.0</v>
      </c>
      <c r="I17" s="13" t="s">
        <v>53</v>
      </c>
    </row>
    <row r="18">
      <c r="A18" s="12">
        <v>15.0</v>
      </c>
      <c r="B18" s="13" t="s">
        <v>54</v>
      </c>
      <c r="C18" s="13" t="s">
        <v>55</v>
      </c>
      <c r="E18" s="13" t="s">
        <v>56</v>
      </c>
      <c r="F18" s="13">
        <v>16.0</v>
      </c>
      <c r="G18" s="12" t="s">
        <v>57</v>
      </c>
      <c r="I18" s="13" t="s">
        <v>58</v>
      </c>
    </row>
    <row r="19">
      <c r="A19" s="12">
        <v>16.0</v>
      </c>
      <c r="B19" s="13" t="s">
        <v>54</v>
      </c>
      <c r="C19" s="13" t="s">
        <v>59</v>
      </c>
      <c r="E19" s="13" t="s">
        <v>60</v>
      </c>
      <c r="F19" s="13">
        <v>8.0</v>
      </c>
      <c r="G19" s="12">
        <v>8.0</v>
      </c>
      <c r="I19" s="13" t="s">
        <v>26</v>
      </c>
    </row>
    <row r="20">
      <c r="A20" s="12">
        <v>17.0</v>
      </c>
      <c r="B20" s="13" t="s">
        <v>54</v>
      </c>
      <c r="C20" s="13" t="s">
        <v>61</v>
      </c>
      <c r="E20" s="13" t="s">
        <v>62</v>
      </c>
      <c r="F20" s="13">
        <v>16.0</v>
      </c>
      <c r="G20" s="12" t="s">
        <v>14</v>
      </c>
      <c r="I20" s="13" t="s">
        <v>63</v>
      </c>
    </row>
    <row r="21">
      <c r="A21" s="12">
        <v>18.0</v>
      </c>
      <c r="B21" s="13" t="s">
        <v>64</v>
      </c>
      <c r="C21" s="13"/>
      <c r="E21" s="13" t="s">
        <v>65</v>
      </c>
      <c r="F21" s="13">
        <v>8.0</v>
      </c>
      <c r="G21" s="12" t="s">
        <v>14</v>
      </c>
      <c r="I21" s="13" t="s">
        <v>66</v>
      </c>
    </row>
    <row r="22">
      <c r="A22" s="12">
        <v>19.0</v>
      </c>
      <c r="B22" s="13" t="s">
        <v>64</v>
      </c>
      <c r="E22" s="13" t="s">
        <v>67</v>
      </c>
      <c r="F22" s="13">
        <v>16.0</v>
      </c>
      <c r="G22" s="12" t="s">
        <v>68</v>
      </c>
      <c r="I22" s="13" t="s">
        <v>69</v>
      </c>
    </row>
    <row r="23">
      <c r="A23" s="12">
        <v>20.0</v>
      </c>
      <c r="B23" s="13" t="s">
        <v>70</v>
      </c>
      <c r="C23" s="13" t="s">
        <v>71</v>
      </c>
      <c r="E23" s="13" t="s">
        <v>72</v>
      </c>
      <c r="F23" s="13">
        <v>1.0</v>
      </c>
      <c r="G23" s="12">
        <v>1.0</v>
      </c>
      <c r="H23" s="13">
        <v>5.0</v>
      </c>
    </row>
    <row r="24">
      <c r="A24" s="12"/>
    </row>
    <row r="25">
      <c r="A25" s="3" t="s">
        <v>73</v>
      </c>
      <c r="B25" s="4"/>
      <c r="C25" s="5"/>
      <c r="D25" s="6"/>
      <c r="E25" s="6"/>
      <c r="F25" s="6"/>
      <c r="G25" s="6"/>
      <c r="H25" s="6"/>
    </row>
    <row r="26">
      <c r="A26" s="8" t="s">
        <v>2</v>
      </c>
      <c r="B26" s="9" t="s">
        <v>3</v>
      </c>
      <c r="C26" s="9" t="s">
        <v>4</v>
      </c>
      <c r="D26" s="10" t="s">
        <v>74</v>
      </c>
      <c r="E26" s="9" t="s">
        <v>6</v>
      </c>
      <c r="F26" s="9" t="s">
        <v>7</v>
      </c>
      <c r="G26" s="10" t="s">
        <v>75</v>
      </c>
      <c r="H26" s="9" t="s">
        <v>9</v>
      </c>
      <c r="I26" s="16"/>
    </row>
    <row r="27">
      <c r="A27" s="13">
        <v>1.0</v>
      </c>
      <c r="B27" s="13" t="s">
        <v>70</v>
      </c>
      <c r="C27" s="13" t="s">
        <v>76</v>
      </c>
      <c r="D27" s="17" t="s">
        <v>77</v>
      </c>
      <c r="E27" s="13" t="s">
        <v>78</v>
      </c>
      <c r="F27" s="13">
        <v>20.0</v>
      </c>
      <c r="G27" s="18">
        <v>24.74</v>
      </c>
      <c r="H27" s="19">
        <f t="shared" ref="H27:H32" si="1">G27*F27</f>
        <v>494.8</v>
      </c>
    </row>
    <row r="28">
      <c r="A28" s="13">
        <v>2.0</v>
      </c>
      <c r="B28" s="13" t="s">
        <v>70</v>
      </c>
      <c r="C28" s="13" t="s">
        <v>79</v>
      </c>
      <c r="D28" s="17" t="s">
        <v>80</v>
      </c>
      <c r="E28" s="13" t="s">
        <v>81</v>
      </c>
      <c r="F28" s="13">
        <v>20.0</v>
      </c>
      <c r="G28" s="18">
        <v>6.731</v>
      </c>
      <c r="H28" s="19">
        <f t="shared" si="1"/>
        <v>134.62</v>
      </c>
    </row>
    <row r="29">
      <c r="A29" s="13">
        <v>3.0</v>
      </c>
      <c r="B29" s="13" t="s">
        <v>70</v>
      </c>
      <c r="C29" s="13" t="s">
        <v>82</v>
      </c>
      <c r="D29" s="17" t="s">
        <v>83</v>
      </c>
      <c r="E29" s="13" t="s">
        <v>84</v>
      </c>
      <c r="F29" s="13">
        <v>20.0</v>
      </c>
      <c r="G29" s="18">
        <v>7.55</v>
      </c>
      <c r="H29" s="19">
        <f t="shared" si="1"/>
        <v>151</v>
      </c>
    </row>
    <row r="30">
      <c r="A30" s="13">
        <v>4.0</v>
      </c>
      <c r="B30" s="13" t="s">
        <v>51</v>
      </c>
      <c r="C30" s="13" t="s">
        <v>85</v>
      </c>
      <c r="D30" s="17" t="s">
        <v>86</v>
      </c>
      <c r="E30" s="13" t="s">
        <v>52</v>
      </c>
      <c r="F30" s="13">
        <v>10.0</v>
      </c>
      <c r="G30" s="18">
        <v>4.365</v>
      </c>
      <c r="H30" s="19">
        <f t="shared" si="1"/>
        <v>43.65</v>
      </c>
    </row>
    <row r="31">
      <c r="A31" s="13">
        <v>5.0</v>
      </c>
      <c r="B31" s="13" t="s">
        <v>87</v>
      </c>
      <c r="C31" s="13" t="s">
        <v>88</v>
      </c>
      <c r="D31" s="17" t="s">
        <v>89</v>
      </c>
      <c r="E31" s="20">
        <v>6.1300811821E10</v>
      </c>
      <c r="F31" s="13">
        <v>10.0</v>
      </c>
      <c r="G31" s="18">
        <v>0.35</v>
      </c>
      <c r="H31" s="19">
        <f t="shared" si="1"/>
        <v>3.5</v>
      </c>
    </row>
    <row r="32">
      <c r="A32" s="13">
        <v>6.0</v>
      </c>
      <c r="B32" s="13" t="s">
        <v>87</v>
      </c>
      <c r="C32" s="13" t="s">
        <v>90</v>
      </c>
      <c r="D32" s="17" t="s">
        <v>91</v>
      </c>
      <c r="E32" s="20">
        <v>6.1301011821E10</v>
      </c>
      <c r="F32" s="13">
        <v>10.0</v>
      </c>
      <c r="G32" s="18">
        <v>0.615</v>
      </c>
      <c r="H32" s="19">
        <f t="shared" si="1"/>
        <v>6.15</v>
      </c>
    </row>
    <row r="34">
      <c r="G34" s="15" t="s">
        <v>92</v>
      </c>
      <c r="H34" s="21">
        <f>SUM(H26:H32)</f>
        <v>833.72</v>
      </c>
    </row>
  </sheetData>
  <mergeCells count="2">
    <mergeCell ref="A2:C2"/>
    <mergeCell ref="A25:C25"/>
  </mergeCells>
  <hyperlinks>
    <hyperlink r:id="rId1" ref="D27"/>
    <hyperlink r:id="rId2" ref="D28"/>
    <hyperlink r:id="rId3" ref="D29"/>
    <hyperlink r:id="rId4" ref="D30"/>
    <hyperlink r:id="rId5" ref="D31"/>
    <hyperlink r:id="rId6" ref="D32"/>
  </hyperlinks>
  <drawing r:id="rId7"/>
</worksheet>
</file>